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내 드라이브\00_프로젝트\01_한양사이버대\hycu_new\docs\"/>
    </mc:Choice>
  </mc:AlternateContent>
  <xr:revisionPtr revIDLastSave="0" documentId="13_ncr:1_{18957E85-0F94-47FA-BA6F-F0EA82321761}" xr6:coauthVersionLast="47" xr6:coauthVersionMax="47" xr10:uidLastSave="{00000000-0000-0000-0000-000000000000}"/>
  <bookViews>
    <workbookView xWindow="38280" yWindow="-15" windowWidth="38640" windowHeight="21120" xr2:uid="{00000000-000D-0000-FFFF-FFFF00000000}"/>
  </bookViews>
  <sheets>
    <sheet name="질의서" sheetId="1" r:id="rId1"/>
    <sheet name="판정정의" sheetId="2" r:id="rId2"/>
  </sheets>
  <definedNames>
    <definedName name="_xlnm._FilterDatabase" localSheetId="0" hidden="1">질의서!$A$11:$L$38</definedName>
    <definedName name="_xlnm.Print_Titles" localSheetId="0">질의서!$11:$11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J9" i="1"/>
  <c r="H9" i="1"/>
  <c r="F9" i="1"/>
  <c r="D9" i="1"/>
</calcChain>
</file>

<file path=xl/sharedStrings.xml><?xml version="1.0" encoding="utf-8"?>
<sst xmlns="http://schemas.openxmlformats.org/spreadsheetml/2006/main" count="287" uniqueCount="185">
  <si>
    <t>한양사이버대학교 논문지도시스템 구축사업 유지보수 — 질의서</t>
  </si>
  <si>
    <t>질의 주제</t>
  </si>
  <si>
    <t>재심사 · 심사신청 철회 · 제출취소 운영 정책</t>
  </si>
  <si>
    <t>관련 요구사항</t>
  </si>
  <si>
    <t>JXLB-1 (논문 심사 &gt; 재심사), JXLB-2 (단계별 심사신청), JXLB-7 (DB View Table)</t>
  </si>
  <si>
    <t>질의일 / 질의처</t>
  </si>
  <si>
    <t>2026-10-06 / ㈜무하유</t>
  </si>
  <si>
    <t>회신 요청</t>
  </si>
  <si>
    <t>1순위 항목(1-1, 1-2, 1-3, 4-1)을 먼저 회신 부탁드립니다. 1순위 항목은 회신 내용에 따라 화면 구성이 달라집니다.</t>
  </si>
  <si>
    <t>작성 방법</t>
  </si>
  <si>
    <t>노란색 칸(답변 · 답변자 · 답변일 · 상태)만 작성해 주십시오. '현재 목업 처리'대로 진행해도 되면 답변에 '동의', 다르게 처리해야 하면 원하시는 내용을 적어 주십시오. 선택지가 있는 항목은 기호로 답하셔도 됩니다. (작성 예: '(나)' / '동의' / '(가), 단 관리자 대행은 불필요')</t>
  </si>
  <si>
    <t>회신 현황</t>
  </si>
  <si>
    <t>전체</t>
  </si>
  <si>
    <t>회신완료</t>
  </si>
  <si>
    <t>추가확인</t>
  </si>
  <si>
    <t>미회신</t>
  </si>
  <si>
    <t>1순위 미회신</t>
  </si>
  <si>
    <t>번호</t>
  </si>
  <si>
    <t>우선순위</t>
  </si>
  <si>
    <t>구분</t>
  </si>
  <si>
    <t>관련
요구사항</t>
  </si>
  <si>
    <t>질의 제목</t>
  </si>
  <si>
    <t>질의 내용</t>
  </si>
  <si>
    <t>현재 목업 처리
(무하유 안)</t>
  </si>
  <si>
    <t>선택지 / 참고</t>
  </si>
  <si>
    <t>답변
(한양사이버대학교)</t>
  </si>
  <si>
    <t>답변자</t>
  </si>
  <si>
    <t>답변일</t>
  </si>
  <si>
    <t>상태</t>
  </si>
  <si>
    <t>1-1</t>
  </si>
  <si>
    <t>1순위</t>
  </si>
  <si>
    <t>심사 판정 체계</t>
  </si>
  <si>
    <t>JXLB-1</t>
  </si>
  <si>
    <t>'조건부합격'과 '불합격'의 구분 기준</t>
  </si>
  <si>
    <t>두 판정의 차이가 판정 이후 절차뿐이고, 어떤 경우에 어느 판정을 선택하는지 기준이 없습니다.
(점수로 자동 산출되는 결과는 합격/불합격 두 가지뿐)
'판정정의' 시트의 표를 작성해 주시기 바랍니다.</t>
  </si>
  <si>
    <t>· 조건부합격: 같은 학기, 심사신청 없이 보완 자료 재제출 → 재심
· 불합격: 다음 학기 심사신청부터 재진행
· 선택은 위원장 판단</t>
  </si>
  <si>
    <t>'판정정의' 시트 참조</t>
  </si>
  <si>
    <t>1-2</t>
  </si>
  <si>
    <t>판정 명칭</t>
  </si>
  <si>
    <t>요구사항정의서의 운영 시스템 명칭은 '불합격(재심사)'(선택 위원 재심)·'불합격(영구)'이나, 목업은 '조건부합격'·'불합격'으로 표기했습니다.
'조건부합격'은 '보완을 조건으로 한 합격'으로 읽혀 재심 대상 판정의 명칭으로는 혼동 우려가 있습니다.
또한 '불합격(영구)' 명칭을 폐지하고 모든 불합격을 재진행 가능으로 보아도 되는지 확인 부탁드립니다.</t>
  </si>
  <si>
    <t>합격 / 조건부합격 / 불합격</t>
  </si>
  <si>
    <t>(가) 합격 / 조건부합격 / 불합격 (현재 목업)
(나) 합격 / 불합격(재심사) / 불합격(재신청) ← 무하유 권장
(다) 기타</t>
  </si>
  <si>
    <t>1-3</t>
  </si>
  <si>
    <t>불합격 후 재신청 시점</t>
  </si>
  <si>
    <t>요구사항정의서에는 '심사 신청 기간 내 신청 가능 (동일 학기 또는 이후 학기 모두 가능)'으로 되어 있습니다.
같은 학기 재신청도 허용해야 하는지 확인 부탁드립니다.</t>
  </si>
  <si>
    <t>다음 학기에만 재신청 가능
(같은 학기 재심은 조건부합격으로 처리)</t>
  </si>
  <si>
    <t>(가) 다음 학기만
(나) 같은 학기 신청기간 내에도 허용</t>
  </si>
  <si>
    <t>2-1</t>
  </si>
  <si>
    <t>2순위</t>
  </si>
  <si>
    <t>조건부합격 재심</t>
  </si>
  <si>
    <t>재심 자료 제출 기한</t>
  </si>
  <si>
    <t>조건부합격 후 재심 자료를 언제까지 제출해야 하는지 확인 부탁드립니다.</t>
  </si>
  <si>
    <t>별도 마감일 없이 학교가 정한 제출기간 사용</t>
  </si>
  <si>
    <t>2-2</t>
  </si>
  <si>
    <t>재심 자료 미제출 시 처리</t>
  </si>
  <si>
    <t>기한 내 재심 자료를 제출하지 않은 경우 어떻게 처리하는지 확인 부탁드립니다.</t>
  </si>
  <si>
    <t>정해지지 않음</t>
  </si>
  <si>
    <t>(가) 불합격 처리
(나) 다음 학기로 이월
(다) 기타</t>
  </si>
  <si>
    <t>2-3</t>
  </si>
  <si>
    <t>재심 결과 확정 주체</t>
  </si>
  <si>
    <t>재심 결과를 위원장이 지정한 재심 위원이 확정하는지, 위원장이 다시 최종 판정하는지 확인 부탁드립니다.</t>
  </si>
  <si>
    <t>위원장이 보완 심사 위원(위원회 전체 또는 특정 위원 1명)과 평가표를 지정 → 다음 번호 심사에서 지정 위원 평가 후 위원장이 최종 판정</t>
  </si>
  <si>
    <t>2-4</t>
  </si>
  <si>
    <t>재심 반복 허용 여부</t>
  </si>
  <si>
    <t>재심에서 다시 조건부합격을 부여할 수 있는지, 횟수 제한이 있는지 확인 부탁드립니다.</t>
  </si>
  <si>
    <t>횟수 제한 없이 반복 가능 (2차 제출, 3차 제출 … 일반 제출과 같은 번호로 표기)</t>
  </si>
  <si>
    <t>2-5</t>
  </si>
  <si>
    <t>재심 불합격 시 경로</t>
  </si>
  <si>
    <t>재심 결과가 불합격인 경우 다음 학기 심사신청부터 재진행하는지 확인 부탁드립니다.</t>
  </si>
  <si>
    <t>다음 학기 심사신청부터 재진행 (다음 번호로 제출)</t>
  </si>
  <si>
    <t>3-1</t>
  </si>
  <si>
    <t>불합격 재심사</t>
  </si>
  <si>
    <t>'재심사 진행' 상태 표시 시점·명칭</t>
  </si>
  <si>
    <t>요구사항정의서에는 불합격 확정 시 학생 논문 상태를 '재심사 진행'으로 변경한다고 되어 있습니다.
재신청 전과 후의 상태 명칭을 확인 부탁드립니다.</t>
  </si>
  <si>
    <t>· 불합격 확정 ~ 재신청 전: '재심사 대상'
· 재신청 후: '신청완료'
· 학생 대시보드: '재심사 진행'</t>
  </si>
  <si>
    <t>3-2</t>
  </si>
  <si>
    <t>JXLB-2</t>
  </si>
  <si>
    <t>학생에게 공개할 이전 차수 기록 범위</t>
  </si>
  <si>
    <t>학생이 상시 조회하는 이전 차수 기록에 어디까지 공개하는지 확인 부탁드립니다.</t>
  </si>
  <si>
    <t>제출 파일, 결과, 심사위원장 총평 공개
(위원별 점수·평가표는 비공개)</t>
  </si>
  <si>
    <t>3-3</t>
  </si>
  <si>
    <t>지도교수 변경 시 심사위원 구성</t>
  </si>
  <si>
    <t>지도교수가 변경된 학생의 새 차수에서 심사위원 구성도 새로 정하는지 확인 부탁드립니다.</t>
  </si>
  <si>
    <t>목업에는 표현하지 않음 (제안: 지도교수만 변경된 지도교수로 반영, 심사위원은 관리자가 다시 배정)</t>
  </si>
  <si>
    <t>3-4</t>
  </si>
  <si>
    <t>재신청 제한(행정 제어) 기능 필요 여부</t>
  </si>
  <si>
    <t>요구사항정의서에 '시스템상 횟수 제한 없음 (행정 정책으로 제어)'로 되어 있습니다.
관리자가 특정 학생의 재신청을 막는 기능이 필요한지 확인 부탁드립니다.</t>
  </si>
  <si>
    <t>기능 없음 (횟수 제한 없음)</t>
  </si>
  <si>
    <t>3-5</t>
  </si>
  <si>
    <t>불합격자 신청기간</t>
  </si>
  <si>
    <t>불합격자를 위한 별도 신청기간이 있는지, 일반 신청기간과 동일한지 확인 부탁드립니다.</t>
  </si>
  <si>
    <t>일반 신청기간과 동일</t>
  </si>
  <si>
    <t>4-1</t>
  </si>
  <si>
    <t>심사신청 철회</t>
  </si>
  <si>
    <t>철회 단위 (기본단계 / 세부단계)</t>
  </si>
  <si>
    <t>요구사항정의서 예시('본심사 2차 철회 시 1차 결과 유지, 2차 제출 버튼 활성화, 심사위원 배정 내역 삭제')는 세부단계(제출 건) 단위 취소로 읽힙니다.
목업은 아래와 같이 두 기능으로 분리했습니다. 이 구분으로 진행해도 되는지 확인 부탁드립니다.</t>
  </si>
  <si>
    <t>· 신청 철회: 기본단계 심사신청 자체를 취소 (결과 미확정 제출 자료 삭제, 확정 기록 보존)
· 제출취소: 신청은 유지하고 제출 자료만 삭제 (재제출 가능)</t>
  </si>
  <si>
    <t>(가) 목업과 같이 분리
(나) 세부단계 단위 철회 하나로 운영</t>
  </si>
  <si>
    <t>4-2</t>
  </si>
  <si>
    <t>'심사 진행 중' 판단 기준</t>
  </si>
  <si>
    <t>요구사항정의서의 '심사 진행률 1% 이상(1인 이상 평가 완료)'에서 '평가 완료'가 최종 제출만인지, 임시저장도 포함하는지 확인 부탁드립니다.</t>
  </si>
  <si>
    <t>평가를 저장한 심사위원이 1명 이상이면 진행 중으로 판단</t>
  </si>
  <si>
    <t>(가) 최종 제출만
(나) 임시저장 포함</t>
  </si>
  <si>
    <t>4-3</t>
  </si>
  <si>
    <t>철회기간 운영 방식</t>
  </si>
  <si>
    <t>철회기간을 신청기간과 별도로 운영하는지 확인 부탁드립니다.</t>
  </si>
  <si>
    <t>신청기간과 별도 기간으로 표시</t>
  </si>
  <si>
    <t>4-4</t>
  </si>
  <si>
    <t>관리자 철회 대행 여부</t>
  </si>
  <si>
    <t>관리자가 학생 대신 신청을 철회할 수 있어야 하는지 확인 부탁드립니다.</t>
  </si>
  <si>
    <t>학생만 가능</t>
  </si>
  <si>
    <t>5-1</t>
  </si>
  <si>
    <t>제출취소</t>
  </si>
  <si>
    <t>JXLB-2, JXLB-7</t>
  </si>
  <si>
    <t>제출취소 가능 기간</t>
  </si>
  <si>
    <t>제출취소 가능 기간을 누가 설정하는지(관리자 일정 설정 화면에 추가 여부)와, 제출기간과의 관계를 확인 부탁드립니다.</t>
  </si>
  <si>
    <t>정책이 정해지지 않아 기간 조건 없이 5-2 조건만 적용</t>
  </si>
  <si>
    <t>(가) 제출기간과 동일
(나) 제출기간 이후 ~ 심사 시작 전
(다) 관리자가 별도 설정</t>
  </si>
  <si>
    <t>5-2</t>
  </si>
  <si>
    <t>제출취소 가능 조건</t>
  </si>
  <si>
    <t>제출취소가 가능한 조건을 확인 부탁드립니다.</t>
  </si>
  <si>
    <t>결과 확정 전 + 평가한 심사위원이 없을 때만 가능</t>
  </si>
  <si>
    <t>5-3</t>
  </si>
  <si>
    <t>제출취소 시 심사위원 배정 내역 처리</t>
  </si>
  <si>
    <t>심사위원이 이미 배정된 상태에서 제출취소하면 배정 내역도 삭제하는지 확인 부탁드립니다.</t>
  </si>
  <si>
    <t>(가) 삭제
(나) 유지</t>
  </si>
  <si>
    <t>5-4</t>
  </si>
  <si>
    <t>재심 자료 제출취소 허용 여부</t>
  </si>
  <si>
    <t>조건부합격 재심 자료도 제출취소할 수 있는지 확인 부탁드립니다.</t>
  </si>
  <si>
    <t>가능 (취소 시 '미제출'로 복귀)</t>
  </si>
  <si>
    <t>5-5</t>
  </si>
  <si>
    <t>관리자 제출취소 대행 여부</t>
  </si>
  <si>
    <t>관리자가 학생 대신 제출취소할 수 있어야 하는지 확인 부탁드립니다.</t>
  </si>
  <si>
    <t>6-1</t>
  </si>
  <si>
    <t>DB View</t>
  </si>
  <si>
    <t>JXLB-7</t>
  </si>
  <si>
    <t>불합격 확정 후 재신청 전 값</t>
  </si>
  <si>
    <t>불합격 확정 후 재신청 전까지 PROPOSAL_REQUEST / PRELIMINARY_REQUEST / FINAL_REQUEST 값을 NULL로 바꾸는지, 이전 값(YES)을 유지하는지 확인 부탁드립니다.</t>
  </si>
  <si>
    <t>-</t>
  </si>
  <si>
    <t>(가) NULL
(나) YES 유지</t>
  </si>
  <si>
    <t>6-2</t>
  </si>
  <si>
    <t>재신청 차수 제출 완료 시 값</t>
  </si>
  <si>
    <t>2차(재신청) 자료 제출을 마치면 다시 YES가 되는지 확인 부탁드립니다.</t>
  </si>
  <si>
    <t>6-3</t>
  </si>
  <si>
    <t>조건부합격 재심 자료 반영 여부</t>
  </si>
  <si>
    <t>조건부합격 재심 자료의 제출·취소도 값에 반영하는지 확인 부탁드립니다.</t>
  </si>
  <si>
    <t>6-4</t>
  </si>
  <si>
    <t>'최종 결과 업데이트' 대상 항목</t>
  </si>
  <si>
    <t>JXLB-1의 '재심사가 완료되면 DB View Table에 최종 결과로 업데이트'가 어떤 항목(필드)을 말하는지 확인 부탁드립니다.</t>
  </si>
  <si>
    <t>7-1</t>
  </si>
  <si>
    <t>용어</t>
  </si>
  <si>
    <t>재심사 차수 표기</t>
  </si>
  <si>
    <t>세부단계 이름(예: '1차 예비심사', '2차 예비심사')과 재심사 차수('1차', '2차')가 같은 표현이라 혼동될 수 있습니다.
차수 표기를 'N회차' 등으로 바꿀지 확인 부탁드립니다.</t>
  </si>
  <si>
    <t>제출할 때마다 1씩 증가하는 번호 하나로 표기
(학생 'N차 제출', 교수·관리자 'N차' / 조건부합격 보완·불합격 재신청 모두 포함)</t>
  </si>
  <si>
    <t>(가) 'N차' 유지
(나) 'N회차'
(다) 기타</t>
  </si>
  <si>
    <t>[질의 1-1] '조건부합격'과 '불합격' 정의</t>
  </si>
  <si>
    <t>노란색 칸을 작성해 주십시오. 회색 글씨는 현재 목업의 처리 방식이며, 동의하시면 '동의'로 작성하셔도 됩니다.</t>
  </si>
  <si>
    <t>항목</t>
  </si>
  <si>
    <t>조건부합격
(명칭은 질의 1-2에 따름)</t>
  </si>
  <si>
    <t>불합격</t>
  </si>
  <si>
    <t>비고</t>
  </si>
  <si>
    <t>어떤 경우에 선택하는지
(예: 부분 보완 / 전면 수정, 점수 구간)</t>
  </si>
  <si>
    <t>목업: 위원장 판단</t>
  </si>
  <si>
    <t>결과 성격 (합격 계열 / 불합격 계열)</t>
  </si>
  <si>
    <t>후속 절차</t>
  </si>
  <si>
    <t>목업: 같은 학기, 심사신청 없이 보완 자료 재제출 → 재심</t>
  </si>
  <si>
    <t>목업: 다음 학기, 심사신청부터 재진행</t>
  </si>
  <si>
    <t>질의 1-3</t>
  </si>
  <si>
    <t>재심 제출 기한</t>
  </si>
  <si>
    <t>목업: 학교가 정한 제출기간</t>
  </si>
  <si>
    <t>목업: 다음 학기 신청기간</t>
  </si>
  <si>
    <t>질의 2-1, 3-5</t>
  </si>
  <si>
    <t>재심 판정 주체</t>
  </si>
  <si>
    <t>목업: 위원장이 지정한 보완 심사 위원 평가 후 위원장 최종 판정</t>
  </si>
  <si>
    <t>목업: 관리자가 다시 배정한 심사위원회 (시연 예시는 1차와 같은 구성)</t>
  </si>
  <si>
    <t>질의 2-3, 3-3</t>
  </si>
  <si>
    <t>재심 결과에 따른 분기</t>
  </si>
  <si>
    <t>목업: 합격 / 조건부합격(반복) / 불합격 → 다음 학기</t>
  </si>
  <si>
    <t>일반 심사와 동일</t>
  </si>
  <si>
    <t>질의 2-4, 2-5</t>
  </si>
  <si>
    <t>다음 심사단계 진행 가능 시점</t>
  </si>
  <si>
    <t>목업: 재심 합격 후</t>
  </si>
  <si>
    <t>불가</t>
  </si>
  <si>
    <t>학적 · DB View에 남는 결과값</t>
  </si>
  <si>
    <t>질의 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</si>
</sst>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 x14ac:knownFonts="1">
    <font>
      <sz val="11"/>
      <color theme="1"/>
      <name val="맑은 고딕"/>
      <family val="2"/>
      <scheme val="minor"/>
    </font>
    <font>
      <b/>
      <sz val="16"/>
      <color rgb="FF44546A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2F5597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4"/>
      <color rgb="FF44546A"/>
      <name val="맑은 고딕"/>
      <family val="3"/>
      <charset val="129"/>
    </font>
    <font>
      <sz val="10"/>
      <color rgb="FF595959"/>
      <name val="맑은 고딕"/>
      <family val="3"/>
      <charset val="129"/>
    </font>
    <font>
      <sz val="10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44546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8" fillId="0" borderId="0" xfId="0" applyFont="1"/>
    <xf numFmtId="0" fontId="9" fillId="0" borderId="0" xfId="0" applyFont="1"/>
  </cellXfs>
  <cellStyles count="1">
    <cellStyle name="표준" xfId="0" builtinId="0"/>
  </cellStyles>
  <dxfs count="2">
    <dxf>
      <font>
        <color rgb="FF9C5700"/>
        <name val="맑은 고딕"/>
      </font>
      <fill>
        <patternFill patternType="solid">
          <fgColor rgb="FFFFEB9C"/>
        </patternFill>
      </fill>
    </dxf>
    <dxf>
      <font>
        <color rgb="FF006100"/>
        <name val="맑은 고딕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showGridLines="0" tabSelected="1" workbookViewId="0">
      <pane xSplit="5" ySplit="11" topLeftCell="F12" activePane="bottomRight" state="frozen"/>
      <selection pane="topRight"/>
      <selection pane="bottomLeft"/>
      <selection pane="bottomRight" sqref="A1:L1"/>
    </sheetView>
  </sheetViews>
  <sheetFormatPr defaultRowHeight="17" x14ac:dyDescent="0.45"/>
  <cols>
    <col min="1" max="1" width="7" customWidth="1"/>
    <col min="2" max="2" width="9" customWidth="1"/>
    <col min="3" max="3" width="14" customWidth="1"/>
    <col min="4" max="4" width="11" customWidth="1"/>
    <col min="5" max="5" width="26" customWidth="1"/>
    <col min="6" max="6" width="58" customWidth="1"/>
    <col min="7" max="7" width="42" customWidth="1"/>
    <col min="8" max="8" width="32" customWidth="1"/>
    <col min="9" max="9" width="46" customWidth="1"/>
    <col min="10" max="10" width="10" customWidth="1"/>
    <col min="11" max="11" width="12" customWidth="1"/>
    <col min="12" max="12" width="11" customWidth="1"/>
  </cols>
  <sheetData>
    <row r="1" spans="1:12" ht="25.5" x14ac:dyDescent="0.7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45">
      <c r="A3" s="18" t="s">
        <v>1</v>
      </c>
      <c r="B3" s="19"/>
      <c r="C3" s="20" t="s">
        <v>2</v>
      </c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45">
      <c r="A4" s="18" t="s">
        <v>3</v>
      </c>
      <c r="B4" s="19"/>
      <c r="C4" s="20" t="s">
        <v>4</v>
      </c>
      <c r="D4" s="19"/>
      <c r="E4" s="19"/>
      <c r="F4" s="19"/>
      <c r="G4" s="19"/>
      <c r="H4" s="19"/>
      <c r="I4" s="19"/>
      <c r="J4" s="19"/>
      <c r="K4" s="19"/>
      <c r="L4" s="19"/>
    </row>
    <row r="5" spans="1:12" x14ac:dyDescent="0.45">
      <c r="A5" s="18" t="s">
        <v>5</v>
      </c>
      <c r="B5" s="19"/>
      <c r="C5" s="20" t="s">
        <v>6</v>
      </c>
      <c r="D5" s="19"/>
      <c r="E5" s="19"/>
      <c r="F5" s="19"/>
      <c r="G5" s="19"/>
      <c r="H5" s="19"/>
      <c r="I5" s="19"/>
      <c r="J5" s="19"/>
      <c r="K5" s="19"/>
      <c r="L5" s="19"/>
    </row>
    <row r="6" spans="1:12" x14ac:dyDescent="0.45">
      <c r="A6" s="18" t="s">
        <v>7</v>
      </c>
      <c r="B6" s="19"/>
      <c r="C6" s="20" t="s">
        <v>8</v>
      </c>
      <c r="D6" s="19"/>
      <c r="E6" s="19"/>
      <c r="F6" s="19"/>
      <c r="G6" s="19"/>
      <c r="H6" s="19"/>
      <c r="I6" s="19"/>
      <c r="J6" s="19"/>
      <c r="K6" s="19"/>
      <c r="L6" s="19"/>
    </row>
    <row r="7" spans="1:12" ht="45" customHeight="1" x14ac:dyDescent="0.45">
      <c r="A7" s="18" t="s">
        <v>9</v>
      </c>
      <c r="B7" s="19"/>
      <c r="C7" s="20" t="s">
        <v>10</v>
      </c>
      <c r="D7" s="19"/>
      <c r="E7" s="19"/>
      <c r="F7" s="19"/>
      <c r="G7" s="19"/>
      <c r="H7" s="19"/>
      <c r="I7" s="19"/>
      <c r="J7" s="19"/>
      <c r="K7" s="19"/>
      <c r="L7" s="19"/>
    </row>
    <row r="9" spans="1:12" x14ac:dyDescent="0.45">
      <c r="A9" s="1" t="s">
        <v>11</v>
      </c>
      <c r="C9" s="2" t="s">
        <v>12</v>
      </c>
      <c r="D9" s="3">
        <f>COUNTA(A12:A38)</f>
        <v>27</v>
      </c>
      <c r="E9" s="2" t="s">
        <v>13</v>
      </c>
      <c r="F9" s="3">
        <f>COUNTIF(L12:L38,"회신완료")</f>
        <v>0</v>
      </c>
      <c r="G9" s="2" t="s">
        <v>14</v>
      </c>
      <c r="H9" s="3">
        <f>COUNTIF(L12:L38,"추가확인")</f>
        <v>0</v>
      </c>
      <c r="I9" s="2" t="s">
        <v>15</v>
      </c>
      <c r="J9" s="3">
        <f>COUNTIF(L12:L38,"미회신")</f>
        <v>27</v>
      </c>
      <c r="K9" s="2" t="s">
        <v>16</v>
      </c>
      <c r="L9" s="3">
        <f>COUNTIFS(B12:B38,"1순위",L12:L38,"미회신")</f>
        <v>4</v>
      </c>
    </row>
    <row r="11" spans="1:12" ht="34" customHeight="1" x14ac:dyDescent="0.45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</row>
    <row r="12" spans="1:12" ht="90" customHeight="1" x14ac:dyDescent="0.45">
      <c r="A12" s="5" t="s">
        <v>29</v>
      </c>
      <c r="B12" s="6" t="s">
        <v>30</v>
      </c>
      <c r="C12" s="5" t="s">
        <v>31</v>
      </c>
      <c r="D12" s="5" t="s">
        <v>32</v>
      </c>
      <c r="E12" s="7" t="s">
        <v>33</v>
      </c>
      <c r="F12" s="8" t="s">
        <v>34</v>
      </c>
      <c r="G12" s="8" t="s">
        <v>35</v>
      </c>
      <c r="H12" s="8" t="s">
        <v>36</v>
      </c>
      <c r="I12" s="9"/>
      <c r="J12" s="10"/>
      <c r="K12" s="11"/>
      <c r="L12" s="10" t="s">
        <v>15</v>
      </c>
    </row>
    <row r="13" spans="1:12" ht="120" customHeight="1" x14ac:dyDescent="0.45">
      <c r="A13" s="5" t="s">
        <v>37</v>
      </c>
      <c r="B13" s="6" t="s">
        <v>30</v>
      </c>
      <c r="C13" s="5" t="s">
        <v>31</v>
      </c>
      <c r="D13" s="5" t="s">
        <v>32</v>
      </c>
      <c r="E13" s="7" t="s">
        <v>38</v>
      </c>
      <c r="F13" s="8" t="s">
        <v>39</v>
      </c>
      <c r="G13" s="8" t="s">
        <v>40</v>
      </c>
      <c r="H13" s="8" t="s">
        <v>41</v>
      </c>
      <c r="I13" s="9"/>
      <c r="J13" s="10"/>
      <c r="K13" s="11"/>
      <c r="L13" s="10" t="s">
        <v>15</v>
      </c>
    </row>
    <row r="14" spans="1:12" ht="60" customHeight="1" x14ac:dyDescent="0.45">
      <c r="A14" s="5" t="s">
        <v>42</v>
      </c>
      <c r="B14" s="6" t="s">
        <v>30</v>
      </c>
      <c r="C14" s="5" t="s">
        <v>31</v>
      </c>
      <c r="D14" s="5" t="s">
        <v>32</v>
      </c>
      <c r="E14" s="7" t="s">
        <v>43</v>
      </c>
      <c r="F14" s="8" t="s">
        <v>44</v>
      </c>
      <c r="G14" s="8" t="s">
        <v>45</v>
      </c>
      <c r="H14" s="8" t="s">
        <v>46</v>
      </c>
      <c r="I14" s="9"/>
      <c r="J14" s="10"/>
      <c r="K14" s="11"/>
      <c r="L14" s="10" t="s">
        <v>15</v>
      </c>
    </row>
    <row r="15" spans="1:12" ht="48" customHeight="1" x14ac:dyDescent="0.45">
      <c r="A15" s="12" t="s">
        <v>47</v>
      </c>
      <c r="B15" s="12" t="s">
        <v>48</v>
      </c>
      <c r="C15" s="12" t="s">
        <v>49</v>
      </c>
      <c r="D15" s="12" t="s">
        <v>32</v>
      </c>
      <c r="E15" s="13" t="s">
        <v>50</v>
      </c>
      <c r="F15" s="14" t="s">
        <v>51</v>
      </c>
      <c r="G15" s="14" t="s">
        <v>52</v>
      </c>
      <c r="H15" s="14"/>
      <c r="I15" s="9"/>
      <c r="J15" s="10"/>
      <c r="K15" s="11"/>
      <c r="L15" s="10" t="s">
        <v>15</v>
      </c>
    </row>
    <row r="16" spans="1:12" ht="48" customHeight="1" x14ac:dyDescent="0.45">
      <c r="A16" s="12" t="s">
        <v>53</v>
      </c>
      <c r="B16" s="12" t="s">
        <v>48</v>
      </c>
      <c r="C16" s="12" t="s">
        <v>49</v>
      </c>
      <c r="D16" s="12" t="s">
        <v>32</v>
      </c>
      <c r="E16" s="13" t="s">
        <v>54</v>
      </c>
      <c r="F16" s="14" t="s">
        <v>55</v>
      </c>
      <c r="G16" s="14" t="s">
        <v>56</v>
      </c>
      <c r="H16" s="14" t="s">
        <v>57</v>
      </c>
      <c r="I16" s="9"/>
      <c r="J16" s="10"/>
      <c r="K16" s="11"/>
      <c r="L16" s="10" t="s">
        <v>15</v>
      </c>
    </row>
    <row r="17" spans="1:12" ht="48" customHeight="1" x14ac:dyDescent="0.45">
      <c r="A17" s="12" t="s">
        <v>58</v>
      </c>
      <c r="B17" s="12" t="s">
        <v>48</v>
      </c>
      <c r="C17" s="12" t="s">
        <v>49</v>
      </c>
      <c r="D17" s="12" t="s">
        <v>32</v>
      </c>
      <c r="E17" s="13" t="s">
        <v>59</v>
      </c>
      <c r="F17" s="14" t="s">
        <v>60</v>
      </c>
      <c r="G17" s="14" t="s">
        <v>61</v>
      </c>
      <c r="H17" s="14"/>
      <c r="I17" s="9"/>
      <c r="J17" s="10"/>
      <c r="K17" s="11"/>
      <c r="L17" s="10" t="s">
        <v>15</v>
      </c>
    </row>
    <row r="18" spans="1:12" ht="48" customHeight="1" x14ac:dyDescent="0.45">
      <c r="A18" s="12" t="s">
        <v>62</v>
      </c>
      <c r="B18" s="12" t="s">
        <v>48</v>
      </c>
      <c r="C18" s="12" t="s">
        <v>49</v>
      </c>
      <c r="D18" s="12" t="s">
        <v>32</v>
      </c>
      <c r="E18" s="13" t="s">
        <v>63</v>
      </c>
      <c r="F18" s="14" t="s">
        <v>64</v>
      </c>
      <c r="G18" s="14" t="s">
        <v>65</v>
      </c>
      <c r="H18" s="14"/>
      <c r="I18" s="9"/>
      <c r="J18" s="10"/>
      <c r="K18" s="11"/>
      <c r="L18" s="10" t="s">
        <v>15</v>
      </c>
    </row>
    <row r="19" spans="1:12" ht="48" customHeight="1" x14ac:dyDescent="0.45">
      <c r="A19" s="12" t="s">
        <v>66</v>
      </c>
      <c r="B19" s="12" t="s">
        <v>48</v>
      </c>
      <c r="C19" s="12" t="s">
        <v>49</v>
      </c>
      <c r="D19" s="12" t="s">
        <v>32</v>
      </c>
      <c r="E19" s="13" t="s">
        <v>67</v>
      </c>
      <c r="F19" s="14" t="s">
        <v>68</v>
      </c>
      <c r="G19" s="14" t="s">
        <v>69</v>
      </c>
      <c r="H19" s="14"/>
      <c r="I19" s="9"/>
      <c r="J19" s="10"/>
      <c r="K19" s="11"/>
      <c r="L19" s="10" t="s">
        <v>15</v>
      </c>
    </row>
    <row r="20" spans="1:12" ht="60" customHeight="1" x14ac:dyDescent="0.45">
      <c r="A20" s="12" t="s">
        <v>70</v>
      </c>
      <c r="B20" s="12" t="s">
        <v>48</v>
      </c>
      <c r="C20" s="12" t="s">
        <v>71</v>
      </c>
      <c r="D20" s="12" t="s">
        <v>32</v>
      </c>
      <c r="E20" s="13" t="s">
        <v>72</v>
      </c>
      <c r="F20" s="14" t="s">
        <v>73</v>
      </c>
      <c r="G20" s="14" t="s">
        <v>74</v>
      </c>
      <c r="H20" s="14"/>
      <c r="I20" s="9"/>
      <c r="J20" s="10"/>
      <c r="K20" s="11"/>
      <c r="L20" s="10" t="s">
        <v>15</v>
      </c>
    </row>
    <row r="21" spans="1:12" ht="48" customHeight="1" x14ac:dyDescent="0.45">
      <c r="A21" s="12" t="s">
        <v>75</v>
      </c>
      <c r="B21" s="12" t="s">
        <v>48</v>
      </c>
      <c r="C21" s="12" t="s">
        <v>71</v>
      </c>
      <c r="D21" s="12" t="s">
        <v>76</v>
      </c>
      <c r="E21" s="13" t="s">
        <v>77</v>
      </c>
      <c r="F21" s="14" t="s">
        <v>78</v>
      </c>
      <c r="G21" s="14" t="s">
        <v>79</v>
      </c>
      <c r="H21" s="14"/>
      <c r="I21" s="9"/>
      <c r="J21" s="10"/>
      <c r="K21" s="11"/>
      <c r="L21" s="10" t="s">
        <v>15</v>
      </c>
    </row>
    <row r="22" spans="1:12" ht="48" customHeight="1" x14ac:dyDescent="0.45">
      <c r="A22" s="12" t="s">
        <v>80</v>
      </c>
      <c r="B22" s="12" t="s">
        <v>48</v>
      </c>
      <c r="C22" s="12" t="s">
        <v>71</v>
      </c>
      <c r="D22" s="12" t="s">
        <v>32</v>
      </c>
      <c r="E22" s="13" t="s">
        <v>81</v>
      </c>
      <c r="F22" s="14" t="s">
        <v>82</v>
      </c>
      <c r="G22" s="14" t="s">
        <v>83</v>
      </c>
      <c r="H22" s="14"/>
      <c r="I22" s="9"/>
      <c r="J22" s="10"/>
      <c r="K22" s="11"/>
      <c r="L22" s="10" t="s">
        <v>15</v>
      </c>
    </row>
    <row r="23" spans="1:12" ht="60" customHeight="1" x14ac:dyDescent="0.45">
      <c r="A23" s="12" t="s">
        <v>84</v>
      </c>
      <c r="B23" s="12" t="s">
        <v>48</v>
      </c>
      <c r="C23" s="12" t="s">
        <v>71</v>
      </c>
      <c r="D23" s="12" t="s">
        <v>32</v>
      </c>
      <c r="E23" s="13" t="s">
        <v>85</v>
      </c>
      <c r="F23" s="14" t="s">
        <v>86</v>
      </c>
      <c r="G23" s="14" t="s">
        <v>87</v>
      </c>
      <c r="H23" s="14"/>
      <c r="I23" s="9"/>
      <c r="J23" s="10"/>
      <c r="K23" s="11"/>
      <c r="L23" s="10" t="s">
        <v>15</v>
      </c>
    </row>
    <row r="24" spans="1:12" ht="48" customHeight="1" x14ac:dyDescent="0.45">
      <c r="A24" s="12" t="s">
        <v>88</v>
      </c>
      <c r="B24" s="12" t="s">
        <v>48</v>
      </c>
      <c r="C24" s="12" t="s">
        <v>71</v>
      </c>
      <c r="D24" s="12" t="s">
        <v>32</v>
      </c>
      <c r="E24" s="13" t="s">
        <v>89</v>
      </c>
      <c r="F24" s="14" t="s">
        <v>90</v>
      </c>
      <c r="G24" s="14" t="s">
        <v>91</v>
      </c>
      <c r="H24" s="14"/>
      <c r="I24" s="9"/>
      <c r="J24" s="10"/>
      <c r="K24" s="11"/>
      <c r="L24" s="10" t="s">
        <v>15</v>
      </c>
    </row>
    <row r="25" spans="1:12" ht="90" customHeight="1" x14ac:dyDescent="0.45">
      <c r="A25" s="5" t="s">
        <v>92</v>
      </c>
      <c r="B25" s="6" t="s">
        <v>30</v>
      </c>
      <c r="C25" s="5" t="s">
        <v>93</v>
      </c>
      <c r="D25" s="5" t="s">
        <v>76</v>
      </c>
      <c r="E25" s="7" t="s">
        <v>94</v>
      </c>
      <c r="F25" s="8" t="s">
        <v>95</v>
      </c>
      <c r="G25" s="8" t="s">
        <v>96</v>
      </c>
      <c r="H25" s="8" t="s">
        <v>97</v>
      </c>
      <c r="I25" s="9"/>
      <c r="J25" s="10"/>
      <c r="K25" s="11"/>
      <c r="L25" s="10" t="s">
        <v>15</v>
      </c>
    </row>
    <row r="26" spans="1:12" ht="48" customHeight="1" x14ac:dyDescent="0.45">
      <c r="A26" s="12" t="s">
        <v>98</v>
      </c>
      <c r="B26" s="12" t="s">
        <v>48</v>
      </c>
      <c r="C26" s="12" t="s">
        <v>93</v>
      </c>
      <c r="D26" s="12" t="s">
        <v>76</v>
      </c>
      <c r="E26" s="13" t="s">
        <v>99</v>
      </c>
      <c r="F26" s="14" t="s">
        <v>100</v>
      </c>
      <c r="G26" s="14" t="s">
        <v>101</v>
      </c>
      <c r="H26" s="14" t="s">
        <v>102</v>
      </c>
      <c r="I26" s="9"/>
      <c r="J26" s="10"/>
      <c r="K26" s="11"/>
      <c r="L26" s="10" t="s">
        <v>15</v>
      </c>
    </row>
    <row r="27" spans="1:12" ht="48" customHeight="1" x14ac:dyDescent="0.45">
      <c r="A27" s="12" t="s">
        <v>103</v>
      </c>
      <c r="B27" s="12" t="s">
        <v>48</v>
      </c>
      <c r="C27" s="12" t="s">
        <v>93</v>
      </c>
      <c r="D27" s="12" t="s">
        <v>76</v>
      </c>
      <c r="E27" s="13" t="s">
        <v>104</v>
      </c>
      <c r="F27" s="14" t="s">
        <v>105</v>
      </c>
      <c r="G27" s="14" t="s">
        <v>106</v>
      </c>
      <c r="H27" s="14"/>
      <c r="I27" s="9"/>
      <c r="J27" s="10"/>
      <c r="K27" s="11"/>
      <c r="L27" s="10" t="s">
        <v>15</v>
      </c>
    </row>
    <row r="28" spans="1:12" ht="48" customHeight="1" x14ac:dyDescent="0.45">
      <c r="A28" s="12" t="s">
        <v>107</v>
      </c>
      <c r="B28" s="12" t="s">
        <v>48</v>
      </c>
      <c r="C28" s="12" t="s">
        <v>93</v>
      </c>
      <c r="D28" s="12" t="s">
        <v>76</v>
      </c>
      <c r="E28" s="13" t="s">
        <v>108</v>
      </c>
      <c r="F28" s="14" t="s">
        <v>109</v>
      </c>
      <c r="G28" s="14" t="s">
        <v>110</v>
      </c>
      <c r="H28" s="14"/>
      <c r="I28" s="9"/>
      <c r="J28" s="10"/>
      <c r="K28" s="11"/>
      <c r="L28" s="10" t="s">
        <v>15</v>
      </c>
    </row>
    <row r="29" spans="1:12" ht="60" customHeight="1" x14ac:dyDescent="0.45">
      <c r="A29" s="12" t="s">
        <v>111</v>
      </c>
      <c r="B29" s="12" t="s">
        <v>48</v>
      </c>
      <c r="C29" s="12" t="s">
        <v>112</v>
      </c>
      <c r="D29" s="12" t="s">
        <v>113</v>
      </c>
      <c r="E29" s="13" t="s">
        <v>114</v>
      </c>
      <c r="F29" s="14" t="s">
        <v>115</v>
      </c>
      <c r="G29" s="14" t="s">
        <v>116</v>
      </c>
      <c r="H29" s="14" t="s">
        <v>117</v>
      </c>
      <c r="I29" s="9"/>
      <c r="J29" s="10"/>
      <c r="K29" s="11"/>
      <c r="L29" s="10" t="s">
        <v>15</v>
      </c>
    </row>
    <row r="30" spans="1:12" ht="48" customHeight="1" x14ac:dyDescent="0.45">
      <c r="A30" s="12" t="s">
        <v>118</v>
      </c>
      <c r="B30" s="12" t="s">
        <v>48</v>
      </c>
      <c r="C30" s="12" t="s">
        <v>112</v>
      </c>
      <c r="D30" s="12" t="s">
        <v>76</v>
      </c>
      <c r="E30" s="13" t="s">
        <v>119</v>
      </c>
      <c r="F30" s="14" t="s">
        <v>120</v>
      </c>
      <c r="G30" s="14" t="s">
        <v>121</v>
      </c>
      <c r="H30" s="14"/>
      <c r="I30" s="9"/>
      <c r="J30" s="10"/>
      <c r="K30" s="11"/>
      <c r="L30" s="10" t="s">
        <v>15</v>
      </c>
    </row>
    <row r="31" spans="1:12" ht="48" customHeight="1" x14ac:dyDescent="0.45">
      <c r="A31" s="12" t="s">
        <v>122</v>
      </c>
      <c r="B31" s="12" t="s">
        <v>48</v>
      </c>
      <c r="C31" s="12" t="s">
        <v>112</v>
      </c>
      <c r="D31" s="12" t="s">
        <v>76</v>
      </c>
      <c r="E31" s="13" t="s">
        <v>123</v>
      </c>
      <c r="F31" s="14" t="s">
        <v>124</v>
      </c>
      <c r="G31" s="14" t="s">
        <v>56</v>
      </c>
      <c r="H31" s="14" t="s">
        <v>125</v>
      </c>
      <c r="I31" s="9"/>
      <c r="J31" s="10"/>
      <c r="K31" s="11"/>
      <c r="L31" s="10" t="s">
        <v>15</v>
      </c>
    </row>
    <row r="32" spans="1:12" ht="48" customHeight="1" x14ac:dyDescent="0.45">
      <c r="A32" s="12" t="s">
        <v>126</v>
      </c>
      <c r="B32" s="12" t="s">
        <v>48</v>
      </c>
      <c r="C32" s="12" t="s">
        <v>112</v>
      </c>
      <c r="D32" s="12" t="s">
        <v>76</v>
      </c>
      <c r="E32" s="13" t="s">
        <v>127</v>
      </c>
      <c r="F32" s="14" t="s">
        <v>128</v>
      </c>
      <c r="G32" s="14" t="s">
        <v>129</v>
      </c>
      <c r="H32" s="14"/>
      <c r="I32" s="9"/>
      <c r="J32" s="10"/>
      <c r="K32" s="11"/>
      <c r="L32" s="10" t="s">
        <v>15</v>
      </c>
    </row>
    <row r="33" spans="1:12" ht="48" customHeight="1" x14ac:dyDescent="0.45">
      <c r="A33" s="12" t="s">
        <v>130</v>
      </c>
      <c r="B33" s="12" t="s">
        <v>48</v>
      </c>
      <c r="C33" s="12" t="s">
        <v>112</v>
      </c>
      <c r="D33" s="12" t="s">
        <v>76</v>
      </c>
      <c r="E33" s="13" t="s">
        <v>131</v>
      </c>
      <c r="F33" s="14" t="s">
        <v>132</v>
      </c>
      <c r="G33" s="14" t="s">
        <v>110</v>
      </c>
      <c r="H33" s="14"/>
      <c r="I33" s="9"/>
      <c r="J33" s="10"/>
      <c r="K33" s="11"/>
      <c r="L33" s="10" t="s">
        <v>15</v>
      </c>
    </row>
    <row r="34" spans="1:12" ht="60" customHeight="1" x14ac:dyDescent="0.45">
      <c r="A34" s="12" t="s">
        <v>133</v>
      </c>
      <c r="B34" s="12" t="s">
        <v>48</v>
      </c>
      <c r="C34" s="12" t="s">
        <v>134</v>
      </c>
      <c r="D34" s="12" t="s">
        <v>135</v>
      </c>
      <c r="E34" s="13" t="s">
        <v>136</v>
      </c>
      <c r="F34" s="14" t="s">
        <v>137</v>
      </c>
      <c r="G34" s="14" t="s">
        <v>138</v>
      </c>
      <c r="H34" s="14" t="s">
        <v>139</v>
      </c>
      <c r="I34" s="9"/>
      <c r="J34" s="10"/>
      <c r="K34" s="11"/>
      <c r="L34" s="10" t="s">
        <v>15</v>
      </c>
    </row>
    <row r="35" spans="1:12" ht="48" customHeight="1" x14ac:dyDescent="0.45">
      <c r="A35" s="12" t="s">
        <v>140</v>
      </c>
      <c r="B35" s="12" t="s">
        <v>48</v>
      </c>
      <c r="C35" s="12" t="s">
        <v>134</v>
      </c>
      <c r="D35" s="12" t="s">
        <v>135</v>
      </c>
      <c r="E35" s="13" t="s">
        <v>141</v>
      </c>
      <c r="F35" s="14" t="s">
        <v>142</v>
      </c>
      <c r="G35" s="14" t="s">
        <v>138</v>
      </c>
      <c r="H35" s="14"/>
      <c r="I35" s="9"/>
      <c r="J35" s="10"/>
      <c r="K35" s="11"/>
      <c r="L35" s="10" t="s">
        <v>15</v>
      </c>
    </row>
    <row r="36" spans="1:12" ht="48" customHeight="1" x14ac:dyDescent="0.45">
      <c r="A36" s="12" t="s">
        <v>143</v>
      </c>
      <c r="B36" s="12" t="s">
        <v>48</v>
      </c>
      <c r="C36" s="12" t="s">
        <v>134</v>
      </c>
      <c r="D36" s="12" t="s">
        <v>135</v>
      </c>
      <c r="E36" s="13" t="s">
        <v>144</v>
      </c>
      <c r="F36" s="14" t="s">
        <v>145</v>
      </c>
      <c r="G36" s="14" t="s">
        <v>138</v>
      </c>
      <c r="H36" s="14"/>
      <c r="I36" s="9"/>
      <c r="J36" s="10"/>
      <c r="K36" s="11"/>
      <c r="L36" s="10" t="s">
        <v>15</v>
      </c>
    </row>
    <row r="37" spans="1:12" ht="48" customHeight="1" x14ac:dyDescent="0.45">
      <c r="A37" s="12" t="s">
        <v>146</v>
      </c>
      <c r="B37" s="12" t="s">
        <v>48</v>
      </c>
      <c r="C37" s="12" t="s">
        <v>134</v>
      </c>
      <c r="D37" s="12" t="s">
        <v>32</v>
      </c>
      <c r="E37" s="13" t="s">
        <v>147</v>
      </c>
      <c r="F37" s="14" t="s">
        <v>148</v>
      </c>
      <c r="G37" s="14" t="s">
        <v>138</v>
      </c>
      <c r="H37" s="14"/>
      <c r="I37" s="9"/>
      <c r="J37" s="10"/>
      <c r="K37" s="11"/>
      <c r="L37" s="10" t="s">
        <v>15</v>
      </c>
    </row>
    <row r="38" spans="1:12" ht="75" customHeight="1" x14ac:dyDescent="0.45">
      <c r="A38" s="12" t="s">
        <v>149</v>
      </c>
      <c r="B38" s="12" t="s">
        <v>48</v>
      </c>
      <c r="C38" s="12" t="s">
        <v>150</v>
      </c>
      <c r="D38" s="12" t="s">
        <v>32</v>
      </c>
      <c r="E38" s="13" t="s">
        <v>151</v>
      </c>
      <c r="F38" s="14" t="s">
        <v>152</v>
      </c>
      <c r="G38" s="14" t="s">
        <v>153</v>
      </c>
      <c r="H38" s="14" t="s">
        <v>154</v>
      </c>
      <c r="I38" s="9"/>
      <c r="J38" s="10"/>
      <c r="K38" s="11"/>
      <c r="L38" s="10" t="s">
        <v>15</v>
      </c>
    </row>
  </sheetData>
  <autoFilter ref="A11:L38" xr:uid="{00000000-0009-0000-0000-000000000000}"/>
  <mergeCells count="11">
    <mergeCell ref="A4:B4"/>
    <mergeCell ref="C5:L5"/>
    <mergeCell ref="A7:B7"/>
    <mergeCell ref="C4:L4"/>
    <mergeCell ref="A1:L1"/>
    <mergeCell ref="C3:L3"/>
    <mergeCell ref="A5:B5"/>
    <mergeCell ref="C7:L7"/>
    <mergeCell ref="C6:L6"/>
    <mergeCell ref="A3:B3"/>
    <mergeCell ref="A6:B6"/>
  </mergeCells>
  <phoneticPr fontId="11" type="noConversion"/>
  <conditionalFormatting sqref="L12:L38">
    <cfRule type="expression" dxfId="1" priority="1">
      <formula>L12="회신완료"</formula>
    </cfRule>
    <cfRule type="expression" dxfId="0" priority="2">
      <formula>L12="추가확인"</formula>
    </cfRule>
  </conditionalFormatting>
  <dataValidations count="1">
    <dataValidation type="list" allowBlank="1" sqref="L12:L38" xr:uid="{00000000-0002-0000-0000-000000000000}">
      <formula1>"미회신,회신완료,추가확인"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defaultRowHeight="17" x14ac:dyDescent="0.45"/>
  <cols>
    <col min="1" max="1" width="34" customWidth="1"/>
    <col min="2" max="3" width="46" customWidth="1"/>
    <col min="4" max="4" width="30" customWidth="1"/>
  </cols>
  <sheetData>
    <row r="1" spans="1:4" ht="21" x14ac:dyDescent="0.55000000000000004">
      <c r="A1" s="23" t="s">
        <v>155</v>
      </c>
      <c r="B1" s="22"/>
      <c r="C1" s="22"/>
      <c r="D1" s="22"/>
    </row>
    <row r="2" spans="1:4" x14ac:dyDescent="0.45">
      <c r="A2" s="24" t="s">
        <v>156</v>
      </c>
      <c r="B2" s="22"/>
      <c r="C2" s="22"/>
      <c r="D2" s="22"/>
    </row>
    <row r="4" spans="1:4" ht="34" customHeight="1" x14ac:dyDescent="0.45">
      <c r="A4" s="4" t="s">
        <v>157</v>
      </c>
      <c r="B4" s="4" t="s">
        <v>158</v>
      </c>
      <c r="C4" s="4" t="s">
        <v>159</v>
      </c>
      <c r="D4" s="4" t="s">
        <v>160</v>
      </c>
    </row>
    <row r="5" spans="1:4" ht="42" customHeight="1" x14ac:dyDescent="0.45">
      <c r="A5" s="15" t="s">
        <v>161</v>
      </c>
      <c r="B5" s="16" t="s">
        <v>162</v>
      </c>
      <c r="C5" s="16" t="s">
        <v>162</v>
      </c>
      <c r="D5" s="17"/>
    </row>
    <row r="6" spans="1:4" ht="42" customHeight="1" x14ac:dyDescent="0.45">
      <c r="A6" s="15" t="s">
        <v>163</v>
      </c>
      <c r="B6" s="9"/>
      <c r="C6" s="9" t="s">
        <v>159</v>
      </c>
      <c r="D6" s="17"/>
    </row>
    <row r="7" spans="1:4" ht="42" customHeight="1" x14ac:dyDescent="0.45">
      <c r="A7" s="15" t="s">
        <v>164</v>
      </c>
      <c r="B7" s="16" t="s">
        <v>165</v>
      </c>
      <c r="C7" s="16" t="s">
        <v>166</v>
      </c>
      <c r="D7" s="17" t="s">
        <v>167</v>
      </c>
    </row>
    <row r="8" spans="1:4" ht="42" customHeight="1" x14ac:dyDescent="0.45">
      <c r="A8" s="15" t="s">
        <v>168</v>
      </c>
      <c r="B8" s="16" t="s">
        <v>169</v>
      </c>
      <c r="C8" s="16" t="s">
        <v>170</v>
      </c>
      <c r="D8" s="17" t="s">
        <v>171</v>
      </c>
    </row>
    <row r="9" spans="1:4" ht="42" customHeight="1" x14ac:dyDescent="0.45">
      <c r="A9" s="15" t="s">
        <v>172</v>
      </c>
      <c r="B9" s="16" t="s">
        <v>173</v>
      </c>
      <c r="C9" s="16" t="s">
        <v>174</v>
      </c>
      <c r="D9" s="17" t="s">
        <v>175</v>
      </c>
    </row>
    <row r="10" spans="1:4" ht="42" customHeight="1" x14ac:dyDescent="0.45">
      <c r="A10" s="15" t="s">
        <v>176</v>
      </c>
      <c r="B10" s="16" t="s">
        <v>177</v>
      </c>
      <c r="C10" s="9" t="s">
        <v>178</v>
      </c>
      <c r="D10" s="17" t="s">
        <v>179</v>
      </c>
    </row>
    <row r="11" spans="1:4" ht="42" customHeight="1" x14ac:dyDescent="0.45">
      <c r="A11" s="15" t="s">
        <v>180</v>
      </c>
      <c r="B11" s="16" t="s">
        <v>181</v>
      </c>
      <c r="C11" s="9" t="s">
        <v>182</v>
      </c>
      <c r="D11" s="17"/>
    </row>
    <row r="12" spans="1:4" ht="42" customHeight="1" x14ac:dyDescent="0.45">
      <c r="A12" s="15" t="s">
        <v>183</v>
      </c>
      <c r="B12" s="9"/>
      <c r="C12" s="9"/>
      <c r="D12" s="17" t="s">
        <v>184</v>
      </c>
    </row>
  </sheetData>
  <mergeCells count="2">
    <mergeCell ref="A1:D1"/>
    <mergeCell ref="A2:D2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질의서</vt:lpstr>
      <vt:lpstr>판정정의</vt:lpstr>
      <vt:lpstr>질의서!Print_Titles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왕일</cp:lastModifiedBy>
  <dcterms:created xsi:type="dcterms:W3CDTF">2026-10-07T06:43:09Z</dcterms:created>
  <dcterms:modified xsi:type="dcterms:W3CDTF">2026-10-07T06:43:43Z</dcterms:modified>
</cp:coreProperties>
</file>